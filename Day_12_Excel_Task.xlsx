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09DE325F-2AB8-4CBE-9304-2A2D091A570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12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" i="1" l="1"/>
  <c r="O9" i="1" s="1"/>
  <c r="L9" i="1"/>
  <c r="I9" i="1"/>
  <c r="K9" i="1" s="1"/>
  <c r="M8" i="1"/>
  <c r="N8" i="1" s="1"/>
  <c r="L8" i="1"/>
  <c r="I8" i="1"/>
  <c r="J8" i="1" s="1"/>
  <c r="M7" i="1"/>
  <c r="N7" i="1" s="1"/>
  <c r="L7" i="1"/>
  <c r="I7" i="1"/>
  <c r="J7" i="1" s="1"/>
  <c r="M6" i="1"/>
  <c r="O6" i="1" s="1"/>
  <c r="L6" i="1"/>
  <c r="I6" i="1"/>
  <c r="K6" i="1" s="1"/>
  <c r="M5" i="1"/>
  <c r="O5" i="1" s="1"/>
  <c r="L5" i="1"/>
  <c r="I5" i="1"/>
  <c r="K5" i="1" s="1"/>
  <c r="O7" i="1" l="1"/>
  <c r="O8" i="1"/>
  <c r="K7" i="1"/>
  <c r="K8" i="1"/>
  <c r="J6" i="1"/>
  <c r="N6" i="1"/>
  <c r="J5" i="1"/>
  <c r="N5" i="1"/>
  <c r="J9" i="1"/>
  <c r="N9" i="1"/>
</calcChain>
</file>

<file path=xl/sharedStrings.xml><?xml version="1.0" encoding="utf-8"?>
<sst xmlns="http://schemas.openxmlformats.org/spreadsheetml/2006/main" count="27" uniqueCount="27">
  <si>
    <t>Day 12</t>
  </si>
  <si>
    <t>Text Joint :Before , After , Split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</si>
  <si>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</si>
  <si>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</si>
  <si>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</si>
  <si>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</si>
  <si>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</si>
  <si>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</si>
  <si>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</si>
  <si>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</si>
  <si>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</si>
  <si>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</si>
  <si>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</si>
  <si>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</si>
  <si>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Full_Name</t>
  </si>
  <si>
    <t>FirstName</t>
  </si>
  <si>
    <t>LastName</t>
  </si>
  <si>
    <t>Abeer</t>
  </si>
  <si>
    <t>Verma</t>
  </si>
  <si>
    <t>Siya</t>
  </si>
  <si>
    <t>Ahuja</t>
  </si>
  <si>
    <t>Kiaan</t>
  </si>
  <si>
    <t>Chawla</t>
  </si>
  <si>
    <t>Vanya</t>
  </si>
  <si>
    <t>Goel</t>
  </si>
  <si>
    <t>Mohit</t>
  </si>
  <si>
    <t>Tandon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</si>
</sst>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/>
    <xf numFmtId="0" fontId="1" fillId="2" borderId="0" xfId="0" applyFont="1" applyFill="1"/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0"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6810111213" displayName="Table1346810111213" ref="A4:O9" totalsRowShown="0" headerRowDxfId="19" dataDxfId="0">
  <autoFilter ref="A4:O9" xr:uid="{00000000-0009-0000-0100-000001000000}"/>
  <tableColumns count="15">
    <tableColumn id="1" xr3:uid="{00000000-0010-0000-0000-000001000000}" name="Student ID" dataDxfId="15"/>
    <tableColumn id="2" xr3:uid="{00000000-0010-0000-0000-000002000000}" name="First Name" dataDxfId="14"/>
    <tableColumn id="3" xr3:uid="{00000000-0010-0000-0000-000003000000}" name="Last Name" dataDxfId="13"/>
    <tableColumn id="4" xr3:uid="{00000000-0010-0000-0000-000004000000}" name="Mathematics" dataDxfId="12"/>
    <tableColumn id="5" xr3:uid="{00000000-0010-0000-0000-000005000000}" name="Science" dataDxfId="11"/>
    <tableColumn id="6" xr3:uid="{00000000-0010-0000-0000-000006000000}" name="English" dataDxfId="10"/>
    <tableColumn id="7" xr3:uid="{00000000-0010-0000-0000-000007000000}" name="Computer" dataDxfId="9"/>
    <tableColumn id="8" xr3:uid="{00000000-0010-0000-0000-000008000000}" name="Social Science" dataDxfId="8"/>
    <tableColumn id="9" xr3:uid="{00000000-0010-0000-0000-000009000000}" name="Total" dataDxfId="7">
      <calculatedColumnFormula>SUM(D5:H5)</calculatedColumnFormula>
    </tableColumn>
    <tableColumn id="10" xr3:uid="{00000000-0010-0000-0000-00000A000000}" name="Average" dataDxfId="6">
      <calculatedColumnFormula>I5/5</calculatedColumnFormula>
    </tableColumn>
    <tableColumn id="11" xr3:uid="{00000000-0010-0000-0000-00000B000000}" name="Percentage" dataDxfId="5">
      <calculatedColumnFormula>(I5/500) *100</calculatedColumnFormula>
    </tableColumn>
    <tableColumn id="12" xr3:uid="{00000000-0010-0000-0000-00000C000000}" name="Is_Fail" dataDxfId="4">
      <calculatedColumnFormula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calculatedColumnFormula>
    </tableColumn>
    <tableColumn id="20" xr3:uid="{00000000-0010-0000-0000-000014000000}" name="Full_Name" dataDxfId="3">
      <calculatedColumnFormula>_xlfn.TEXTJOIN(" ",TRUE,Table1346810111213[[#This Row],[First Name]],Table1346810111213[[#This Row],[Last Name]])</calculatedColumnFormula>
    </tableColumn>
    <tableColumn id="21" xr3:uid="{00000000-0010-0000-0000-000015000000}" name="FirstName" dataDxfId="2">
      <calculatedColumnFormula>LEFT(Table1346810111213[[#This Row],[Full_Name]],FIND(" ",Table1346810111213[[#This Row],[Full_Name]])-1)</calculatedColumnFormula>
    </tableColumn>
    <tableColumn id="22" xr3:uid="{00000000-0010-0000-0000-000016000000}" name="LastName" dataDxfId="1">
      <calculatedColumnFormula>RIGHT(Table1346810111213[[#This Row],[Full_Name]],LEN(Table1346810111213[[#This Row],[Full_Name]])-FIND(" ",Table1346810111213[[#This Row],[Full_Name]]))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hub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E17" sqref="E17"/>
    </sheetView>
  </sheetViews>
  <sheetFormatPr defaultRowHeight="14.5" x14ac:dyDescent="0.35"/>
  <cols>
    <col min="4" max="4" width="12" customWidth="1"/>
    <col min="7" max="7" width="9.36328125" customWidth="1"/>
    <col min="13" max="13" width="14.08984375" style="4" bestFit="1" customWidth="1"/>
    <col min="14" max="14" width="11" customWidth="1"/>
    <col min="15" max="15" width="10.90625" customWidth="1"/>
  </cols>
  <sheetData>
    <row r="1" spans="1:15" x14ac:dyDescent="0.35">
      <c r="A1" s="5"/>
      <c r="B1" s="5"/>
      <c r="C1" s="5"/>
      <c r="D1" s="5"/>
      <c r="E1" s="5"/>
      <c r="F1" s="6"/>
      <c r="G1" s="5" t="s">
        <v>0</v>
      </c>
      <c r="H1" s="5"/>
      <c r="I1" s="5"/>
      <c r="J1" s="5"/>
      <c r="K1" s="5"/>
      <c r="L1" s="5"/>
      <c r="M1" s="5"/>
      <c r="N1" s="5"/>
      <c r="O1" s="5"/>
    </row>
    <row r="2" spans="1:15" ht="18.5" x14ac:dyDescent="0.4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5" ht="28.75" customHeight="1" x14ac:dyDescent="0.35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35">
      <c r="A5" s="9">
        <v>1</v>
      </c>
      <c r="B5" s="9" t="s">
        <v>17</v>
      </c>
      <c r="C5" s="9" t="s">
        <v>18</v>
      </c>
      <c r="D5" s="9">
        <v>88</v>
      </c>
      <c r="E5" s="9">
        <v>95</v>
      </c>
      <c r="F5" s="9">
        <v>97</v>
      </c>
      <c r="G5" s="9">
        <v>77</v>
      </c>
      <c r="H5" s="9">
        <v>87</v>
      </c>
      <c r="I5" s="3">
        <f>SUM(D5:H5)</f>
        <v>444</v>
      </c>
      <c r="J5" s="3">
        <f>I5/5</f>
        <v>88.8</v>
      </c>
      <c r="K5" s="3">
        <f>(I5/500) *100</f>
        <v>88.8</v>
      </c>
      <c r="L5" s="3" t="str">
        <f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f>
        <v>Pass</v>
      </c>
      <c r="M5" s="3" t="str">
        <f>_xlfn.TEXTJOIN(" ",TRUE,Table1346810111213[[#This Row],[First Name]],Table1346810111213[[#This Row],[Last Name]])</f>
        <v>Abeer Verma</v>
      </c>
      <c r="N5" s="3" t="str">
        <f>LEFT(Table1346810111213[[#This Row],[Full_Name]],FIND(" ",Table1346810111213[[#This Row],[Full_Name]])-1)</f>
        <v>Abeer</v>
      </c>
      <c r="O5" s="3" t="str">
        <f>RIGHT(Table1346810111213[[#This Row],[Full_Name]],LEN(Table1346810111213[[#This Row],[Full_Name]])-FIND(" ",Table1346810111213[[#This Row],[Full_Name]]))</f>
        <v>Verma</v>
      </c>
    </row>
    <row r="6" spans="1:15" x14ac:dyDescent="0.35">
      <c r="A6" s="9">
        <v>2</v>
      </c>
      <c r="B6" s="9" t="s">
        <v>19</v>
      </c>
      <c r="C6" s="9" t="s">
        <v>20</v>
      </c>
      <c r="D6" s="9">
        <v>84</v>
      </c>
      <c r="E6" s="9">
        <v>68</v>
      </c>
      <c r="F6" s="9">
        <v>81</v>
      </c>
      <c r="G6" s="9">
        <v>72</v>
      </c>
      <c r="H6" s="9">
        <v>91</v>
      </c>
      <c r="I6" s="3">
        <f>SUM(D6:H6)</f>
        <v>396</v>
      </c>
      <c r="J6" s="3">
        <f>I6/5</f>
        <v>79.2</v>
      </c>
      <c r="K6" s="3">
        <f>(I6/500) *100</f>
        <v>79.2</v>
      </c>
      <c r="L6" s="3" t="str">
        <f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f>
        <v>Pass</v>
      </c>
      <c r="M6" s="3" t="str">
        <f>_xlfn.TEXTJOIN(" ",TRUE,Table1346810111213[[#This Row],[First Name]],Table1346810111213[[#This Row],[Last Name]])</f>
        <v>Siya Ahuja</v>
      </c>
      <c r="N6" s="3" t="str">
        <f>LEFT(Table1346810111213[[#This Row],[Full_Name]],FIND(" ",Table1346810111213[[#This Row],[Full_Name]])-1)</f>
        <v>Siya</v>
      </c>
      <c r="O6" s="3" t="str">
        <f>RIGHT(Table1346810111213[[#This Row],[Full_Name]],LEN(Table1346810111213[[#This Row],[Full_Name]])-FIND(" ",Table1346810111213[[#This Row],[Full_Name]]))</f>
        <v>Ahuja</v>
      </c>
    </row>
    <row r="7" spans="1:15" x14ac:dyDescent="0.35">
      <c r="A7" s="9">
        <v>3</v>
      </c>
      <c r="B7" s="10" t="s">
        <v>21</v>
      </c>
      <c r="C7" s="9" t="s">
        <v>22</v>
      </c>
      <c r="D7" s="9">
        <v>87</v>
      </c>
      <c r="E7" s="9">
        <v>59</v>
      </c>
      <c r="F7" s="9">
        <v>82</v>
      </c>
      <c r="G7" s="9">
        <v>96</v>
      </c>
      <c r="H7" s="9">
        <v>73</v>
      </c>
      <c r="I7" s="3">
        <f>SUM(D7:H7)</f>
        <v>397</v>
      </c>
      <c r="J7" s="3">
        <f>I7/5</f>
        <v>79.400000000000006</v>
      </c>
      <c r="K7" s="3">
        <f>(I7/500) *100</f>
        <v>79.400000000000006</v>
      </c>
      <c r="L7" s="3" t="str">
        <f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f>
        <v>Pass</v>
      </c>
      <c r="M7" s="3" t="str">
        <f>_xlfn.TEXTJOIN(" ",TRUE,Table1346810111213[[#This Row],[First Name]],Table1346810111213[[#This Row],[Last Name]])</f>
        <v>Kiaan Chawla</v>
      </c>
      <c r="N7" s="3" t="str">
        <f>LEFT(Table1346810111213[[#This Row],[Full_Name]],FIND(" ",Table1346810111213[[#This Row],[Full_Name]])-1)</f>
        <v>Kiaan</v>
      </c>
      <c r="O7" s="3" t="str">
        <f>RIGHT(Table1346810111213[[#This Row],[Full_Name]],LEN(Table1346810111213[[#This Row],[Full_Name]])-FIND(" ",Table1346810111213[[#This Row],[Full_Name]]))</f>
        <v>Chawla</v>
      </c>
    </row>
    <row r="8" spans="1:15" x14ac:dyDescent="0.35">
      <c r="A8" s="9">
        <v>4</v>
      </c>
      <c r="B8" s="9" t="s">
        <v>23</v>
      </c>
      <c r="C8" s="9" t="s">
        <v>24</v>
      </c>
      <c r="D8" s="9">
        <v>87</v>
      </c>
      <c r="E8" s="9"/>
      <c r="F8" s="9">
        <v>74</v>
      </c>
      <c r="G8" s="9">
        <v>80</v>
      </c>
      <c r="H8" s="9">
        <v>70</v>
      </c>
      <c r="I8" s="3">
        <f>SUM(D8:H8)</f>
        <v>311</v>
      </c>
      <c r="J8" s="3">
        <f>I8/5</f>
        <v>62.2</v>
      </c>
      <c r="K8" s="3">
        <f>(I8/500) *100</f>
        <v>62.2</v>
      </c>
      <c r="L8" s="3" t="str">
        <f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f>
        <v>Pass</v>
      </c>
      <c r="M8" s="3" t="str">
        <f>_xlfn.TEXTJOIN(" ",TRUE,Table1346810111213[[#This Row],[First Name]],Table1346810111213[[#This Row],[Last Name]])</f>
        <v>Vanya Goel</v>
      </c>
      <c r="N8" s="3" t="str">
        <f>LEFT(Table1346810111213[[#This Row],[Full_Name]],FIND(" ",Table1346810111213[[#This Row],[Full_Name]])-1)</f>
        <v>Vanya</v>
      </c>
      <c r="O8" s="3" t="str">
        <f>RIGHT(Table1346810111213[[#This Row],[Full_Name]],LEN(Table1346810111213[[#This Row],[Full_Name]])-FIND(" ",Table1346810111213[[#This Row],[Full_Name]]))</f>
        <v>Goel</v>
      </c>
    </row>
    <row r="9" spans="1:15" x14ac:dyDescent="0.35">
      <c r="A9" s="9">
        <v>5</v>
      </c>
      <c r="B9" s="9" t="s">
        <v>25</v>
      </c>
      <c r="C9" s="9" t="s">
        <v>26</v>
      </c>
      <c r="D9" s="9">
        <v>72</v>
      </c>
      <c r="E9" s="9">
        <v>96</v>
      </c>
      <c r="F9" s="9">
        <v>68</v>
      </c>
      <c r="G9" s="9">
        <v>86</v>
      </c>
      <c r="H9" s="9">
        <v>91</v>
      </c>
      <c r="I9" s="3">
        <f>SUM(D9:H9)</f>
        <v>413</v>
      </c>
      <c r="J9" s="3">
        <f>I9/5</f>
        <v>82.6</v>
      </c>
      <c r="K9" s="3">
        <f>(I9/500) *100</f>
        <v>82.6</v>
      </c>
      <c r="L9" s="3" t="str">
        <f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f>
        <v>Pass</v>
      </c>
      <c r="M9" s="3" t="str">
        <f>_xlfn.TEXTJOIN(" ",TRUE,Table1346810111213[[#This Row],[First Name]],Table1346810111213[[#This Row],[Last Name]])</f>
        <v>Mohit Tandon</v>
      </c>
      <c r="N9" s="3" t="str">
        <f>LEFT(Table1346810111213[[#This Row],[Full_Name]],FIND(" ",Table1346810111213[[#This Row],[Full_Name]])-1)</f>
        <v>Mohit</v>
      </c>
      <c r="O9" s="3" t="str">
        <f>RIGHT(Table1346810111213[[#This Row],[Full_Name]],LEN(Table1346810111213[[#This Row],[Full_Name]])-FIND(" ",Table1346810111213[[#This Row],[Full_Name]]))</f>
        <v>Tandon</v>
      </c>
    </row>
  </sheetData>
  <mergeCells count="1">
    <mergeCell ref="A2:M2"/>
  </mergeCells>
  <conditionalFormatting sqref="L5:L9">
    <cfRule type="containsText" dxfId="18" priority="1" operator="containsText" text="Pass">
      <formula>NOT(ISERROR(SEARCH("Pass",L5)))</formula>
    </cfRule>
    <cfRule type="containsText" dxfId="17" priority="2" operator="containsText" text="Fail">
      <formula>NOT(ISERROR(SEARCH("Fail",L5)))</formula>
    </cfRule>
    <cfRule type="containsText" dxfId="16" priority="3" operator="containsText" text="Fail">
      <formula>NOT(ISERROR(SEARCH("Fail",L5)))</formula>
    </cfRule>
  </conditionalFormatting>
  <hyperlinks>
    <hyperlink ref="B7" r:id="rId1" display="Shubh@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2026-09-21T17:33:05Z</dcterms:modified>
</cp:coreProperties>
</file>