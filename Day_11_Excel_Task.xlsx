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9592AE1C-F10A-40A6-BBB4-FE6189F12B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1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" i="1" l="1"/>
  <c r="L9" i="1"/>
  <c r="I9" i="1"/>
  <c r="K9" i="1" s="1"/>
  <c r="M8" i="1"/>
  <c r="L8" i="1"/>
  <c r="I8" i="1"/>
  <c r="K8" i="1" s="1"/>
  <c r="M7" i="1"/>
  <c r="L7" i="1"/>
  <c r="I7" i="1"/>
  <c r="K7" i="1" s="1"/>
  <c r="M6" i="1"/>
  <c r="L6" i="1"/>
  <c r="I6" i="1"/>
  <c r="K6" i="1" s="1"/>
  <c r="M5" i="1"/>
  <c r="L5" i="1"/>
  <c r="I5" i="1"/>
  <c r="K5" i="1" s="1"/>
  <c r="J5" i="1" l="1"/>
  <c r="J8" i="1"/>
  <c r="J7" i="1"/>
  <c r="J9" i="1"/>
  <c r="J6" i="1"/>
</calcChain>
</file>

<file path=xl/sharedStrings.xml><?xml version="1.0" encoding="utf-8"?>
<sst xmlns="http://schemas.openxmlformats.org/spreadsheetml/2006/main" count="25" uniqueCount="25">
  <si>
    <t>Day 11</t>
  </si>
  <si>
    <t>Concat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</si>
  <si>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</si>
  <si>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</si>
  <si>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</si>
  <si>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</si>
  <si>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</si>
  <si>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</si>
  <si>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</si>
  <si>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</si>
  <si>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</si>
  <si>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</si>
  <si>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</si>
  <si>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</si>
  <si>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Full_Name</t>
  </si>
  <si>
    <t>Devansh</t>
  </si>
  <si>
    <t>Kapur</t>
  </si>
  <si>
    <t>Anika</t>
  </si>
  <si>
    <t>Sen</t>
  </si>
  <si>
    <t>Avi</t>
  </si>
  <si>
    <t>Mishra</t>
  </si>
  <si>
    <t>Prisha</t>
  </si>
  <si>
    <t>Reddy</t>
  </si>
  <si>
    <t>Varun</t>
  </si>
  <si>
    <t>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</si>
</sst>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4" fillId="0" borderId="0" xfId="1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18">
    <dxf>
      <alignment horizontal="general" textRotation="0" indent="0" justifyLastLine="0" shrinkToFit="0" readingOrder="0"/>
    </dxf>
    <dxf>
      <numFmt numFmtId="0" formatCode="General"/>
      <alignment horizontal="general" textRotation="0" indent="0" justifyLastLine="0" shrinkToFit="0" readingOrder="0"/>
    </dxf>
    <dxf>
      <numFmt numFmtId="0" formatCode="General"/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1112" displayName="Table13468101112" ref="A4:M9" totalsRowShown="0" headerRowDxfId="14" dataDxfId="0">
  <autoFilter ref="A4:M9" xr:uid="{00000000-0009-0000-0100-000001000000}"/>
  <tableColumns count="13">
    <tableColumn id="1" xr3:uid="{00000000-0010-0000-0000-000001000000}" name="Student ID" dataDxfId="13"/>
    <tableColumn id="2" xr3:uid="{00000000-0010-0000-0000-000002000000}" name="First Name" dataDxfId="12"/>
    <tableColumn id="3" xr3:uid="{00000000-0010-0000-0000-000003000000}" name="Last Name" dataDxfId="11"/>
    <tableColumn id="4" xr3:uid="{00000000-0010-0000-0000-000004000000}" name="Mathematics" dataDxfId="10"/>
    <tableColumn id="5" xr3:uid="{00000000-0010-0000-0000-000005000000}" name="Science" dataDxfId="9"/>
    <tableColumn id="6" xr3:uid="{00000000-0010-0000-0000-000006000000}" name="English" dataDxfId="8"/>
    <tableColumn id="7" xr3:uid="{00000000-0010-0000-0000-000007000000}" name="Computer" dataDxfId="7"/>
    <tableColumn id="8" xr3:uid="{00000000-0010-0000-0000-000008000000}" name="Social Science" dataDxfId="6"/>
    <tableColumn id="9" xr3:uid="{00000000-0010-0000-0000-000009000000}" name="Total" dataDxfId="5">
      <calculatedColumnFormula>SUM(D5:H5)</calculatedColumnFormula>
    </tableColumn>
    <tableColumn id="10" xr3:uid="{00000000-0010-0000-0000-00000A000000}" name="Average" dataDxfId="4">
      <calculatedColumnFormula>I5/5</calculatedColumnFormula>
    </tableColumn>
    <tableColumn id="11" xr3:uid="{00000000-0010-0000-0000-00000B000000}" name="Percentage" dataDxfId="3">
      <calculatedColumnFormula>(I5/500) *100</calculatedColumnFormula>
    </tableColumn>
    <tableColumn id="12" xr3:uid="{00000000-0010-0000-0000-00000C000000}" name="Is_Fail" dataDxfId="2">
      <calculatedColumnFormula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calculatedColumnFormula>
    </tableColumn>
    <tableColumn id="20" xr3:uid="{00000000-0010-0000-0000-000014000000}" name="Full_Name" dataDxfId="1">
      <calculatedColumnFormula>_xlfn.CONCAT(Table13468101112[[#This Row],[First Name]],Table13468101112[[#This Row],[Last Name]])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C11" sqref="C11"/>
    </sheetView>
  </sheetViews>
  <sheetFormatPr defaultRowHeight="14.5" x14ac:dyDescent="0.35"/>
  <cols>
    <col min="1" max="2" width="14.36328125" style="6" bestFit="1" customWidth="1"/>
    <col min="3" max="3" width="14.1796875" style="6" bestFit="1" customWidth="1"/>
    <col min="4" max="4" width="13" style="6" customWidth="1"/>
    <col min="5" max="5" width="8.6328125" style="6" customWidth="1"/>
    <col min="6" max="6" width="6.90625" style="6" bestFit="1" customWidth="1"/>
    <col min="7" max="7" width="10.81640625" style="6" customWidth="1"/>
    <col min="8" max="8" width="7.36328125" style="6" bestFit="1" customWidth="1"/>
    <col min="9" max="9" width="5.1796875" style="6" bestFit="1" customWidth="1"/>
    <col min="10" max="10" width="7.90625" style="6" bestFit="1" customWidth="1"/>
    <col min="11" max="11" width="8.453125" style="6" bestFit="1" customWidth="1"/>
    <col min="12" max="12" width="6.08984375" style="6" bestFit="1" customWidth="1"/>
    <col min="13" max="13" width="14.08984375" style="6" bestFit="1" customWidth="1"/>
    <col min="14" max="14" width="6.81640625" style="6" bestFit="1" customWidth="1"/>
    <col min="15" max="15" width="9.08984375" style="6" bestFit="1" customWidth="1"/>
    <col min="16" max="16" width="10.81640625" style="6" bestFit="1" customWidth="1"/>
    <col min="17" max="17" width="9.08984375" style="6" bestFit="1" customWidth="1"/>
    <col min="18" max="18" width="7.90625" style="6" bestFit="1" customWidth="1"/>
    <col min="19" max="19" width="9.08984375" style="6" bestFit="1" customWidth="1"/>
  </cols>
  <sheetData>
    <row r="1" spans="1:19" x14ac:dyDescent="0.35">
      <c r="A1" s="9"/>
      <c r="B1" s="9"/>
      <c r="C1" s="9"/>
      <c r="D1" s="9"/>
      <c r="E1" s="9"/>
      <c r="F1" s="10"/>
      <c r="G1" s="9" t="s">
        <v>0</v>
      </c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</row>
    <row r="2" spans="1:19" ht="18.5" x14ac:dyDescent="0.4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4"/>
      <c r="O2" s="4"/>
      <c r="P2" s="4"/>
      <c r="Q2" s="4"/>
      <c r="R2" s="4"/>
      <c r="S2" s="4"/>
    </row>
    <row r="4" spans="1:19" ht="28.75" customHeight="1" x14ac:dyDescent="0.35">
      <c r="A4" s="2" t="s">
        <v>2</v>
      </c>
      <c r="B4" s="2" t="s">
        <v>3</v>
      </c>
      <c r="C4" s="2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9" x14ac:dyDescent="0.35">
      <c r="A5" s="1">
        <v>1</v>
      </c>
      <c r="B5" s="1" t="s">
        <v>15</v>
      </c>
      <c r="C5" s="1" t="s">
        <v>16</v>
      </c>
      <c r="D5" s="1">
        <v>71</v>
      </c>
      <c r="E5" s="1">
        <v>78</v>
      </c>
      <c r="F5" s="1">
        <v>89</v>
      </c>
      <c r="G5" s="1">
        <v>70</v>
      </c>
      <c r="H5" s="1">
        <v>83</v>
      </c>
      <c r="I5" s="13">
        <f>SUM(D5:H5)</f>
        <v>391</v>
      </c>
      <c r="J5" s="13">
        <f>I5/5</f>
        <v>78.2</v>
      </c>
      <c r="K5" s="13">
        <f>(I5/500) *100</f>
        <v>78.2</v>
      </c>
      <c r="L5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5" s="13" t="str">
        <f>_xlfn.CONCAT(Table13468101112[[#This Row],[First Name]],Table13468101112[[#This Row],[Last Name]])</f>
        <v>DevanshKapur</v>
      </c>
    </row>
    <row r="6" spans="1:19" x14ac:dyDescent="0.35">
      <c r="A6" s="1">
        <v>2</v>
      </c>
      <c r="B6" s="1" t="s">
        <v>17</v>
      </c>
      <c r="C6" s="1" t="s">
        <v>18</v>
      </c>
      <c r="D6" s="1">
        <v>84</v>
      </c>
      <c r="E6" s="1">
        <v>97</v>
      </c>
      <c r="F6" s="1">
        <v>68</v>
      </c>
      <c r="G6" s="1">
        <v>70</v>
      </c>
      <c r="H6" s="1">
        <v>84</v>
      </c>
      <c r="I6" s="13">
        <f>SUM(D6:H6)</f>
        <v>403</v>
      </c>
      <c r="J6" s="13">
        <f>I6/5</f>
        <v>80.599999999999994</v>
      </c>
      <c r="K6" s="13">
        <f>(I6/500) *100</f>
        <v>80.600000000000009</v>
      </c>
      <c r="L6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6" s="13" t="str">
        <f>_xlfn.CONCAT(Table13468101112[[#This Row],[First Name]],Table13468101112[[#This Row],[Last Name]])</f>
        <v>AnikaSen</v>
      </c>
    </row>
    <row r="7" spans="1:19" x14ac:dyDescent="0.35">
      <c r="A7" s="1">
        <v>3</v>
      </c>
      <c r="B7" s="7" t="s">
        <v>19</v>
      </c>
      <c r="C7" s="1" t="s">
        <v>20</v>
      </c>
      <c r="D7" s="1">
        <v>93</v>
      </c>
      <c r="E7" s="1">
        <v>72</v>
      </c>
      <c r="F7" s="1">
        <v>69</v>
      </c>
      <c r="G7" s="1">
        <v>87</v>
      </c>
      <c r="H7" s="1">
        <v>84</v>
      </c>
      <c r="I7" s="13">
        <f>SUM(D7:H7)</f>
        <v>405</v>
      </c>
      <c r="J7" s="13">
        <f>I7/5</f>
        <v>81</v>
      </c>
      <c r="K7" s="13">
        <f>(I7/500) *100</f>
        <v>81</v>
      </c>
      <c r="L7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7" s="13" t="str">
        <f>_xlfn.CONCAT(Table13468101112[[#This Row],[First Name]],Table13468101112[[#This Row],[Last Name]])</f>
        <v>AviMishra</v>
      </c>
    </row>
    <row r="8" spans="1:19" x14ac:dyDescent="0.35">
      <c r="A8" s="1">
        <v>4</v>
      </c>
      <c r="B8" s="1" t="s">
        <v>21</v>
      </c>
      <c r="C8" s="1" t="s">
        <v>22</v>
      </c>
      <c r="D8" s="1">
        <v>82</v>
      </c>
      <c r="E8" s="1">
        <v>75</v>
      </c>
      <c r="F8" s="1">
        <v>82</v>
      </c>
      <c r="G8" s="1">
        <v>72</v>
      </c>
      <c r="H8" s="1">
        <v>80</v>
      </c>
      <c r="I8" s="13">
        <f>SUM(D8:H8)</f>
        <v>391</v>
      </c>
      <c r="J8" s="13">
        <f>I8/5</f>
        <v>78.2</v>
      </c>
      <c r="K8" s="13">
        <f>(I8/500) *100</f>
        <v>78.2</v>
      </c>
      <c r="L8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8" s="13" t="str">
        <f>_xlfn.CONCAT(Table13468101112[[#This Row],[First Name]],Table13468101112[[#This Row],[Last Name]])</f>
        <v>PrishaReddy</v>
      </c>
    </row>
    <row r="9" spans="1:19" x14ac:dyDescent="0.35">
      <c r="A9" s="1">
        <v>5</v>
      </c>
      <c r="B9" s="1" t="s">
        <v>23</v>
      </c>
      <c r="C9" s="1" t="s">
        <v>24</v>
      </c>
      <c r="D9" s="1">
        <v>89</v>
      </c>
      <c r="E9" s="1">
        <v>60</v>
      </c>
      <c r="F9" s="1">
        <v>78</v>
      </c>
      <c r="G9" s="1">
        <v>73</v>
      </c>
      <c r="H9" s="1">
        <v>94</v>
      </c>
      <c r="I9" s="13">
        <f>SUM(D9:H9)</f>
        <v>394</v>
      </c>
      <c r="J9" s="13">
        <f>I9/5</f>
        <v>78.8</v>
      </c>
      <c r="K9" s="13">
        <f>(I9/500) *100</f>
        <v>78.8</v>
      </c>
      <c r="L9" s="13" t="str">
        <f>IF(SUMIF(Table13468101112[[#This Row],[Mathematics]]:Table13468101112[[#This Row],[Social Science]],"&gt;=50",Table13468101112[[#This Row],[Mathematics]]:Table13468101112[[#This Row],[Social Science]])=SUM(Table13468101112[[#This Row],[Mathematics]]:Table13468101112[[#This Row],[Social Science]]),"Pass","Fail")</f>
        <v>Pass</v>
      </c>
      <c r="M9" s="13" t="str">
        <f>_xlfn.CONCAT(Table13468101112[[#This Row],[First Name]],Table13468101112[[#This Row],[Last Name]])</f>
        <v>VarunJoshi</v>
      </c>
    </row>
    <row r="11" spans="1:19" x14ac:dyDescent="0.35">
      <c r="F11" s="5"/>
    </row>
    <row r="13" spans="1:19" x14ac:dyDescent="0.35">
      <c r="F13" s="5"/>
    </row>
    <row r="15" spans="1:19" x14ac:dyDescent="0.35">
      <c r="F15" s="5"/>
    </row>
    <row r="17" spans="6:6" x14ac:dyDescent="0.35">
      <c r="F17" s="5"/>
    </row>
  </sheetData>
  <mergeCells count="1">
    <mergeCell ref="A2:M2"/>
  </mergeCells>
  <conditionalFormatting sqref="L5:L9">
    <cfRule type="containsText" dxfId="17" priority="1" operator="containsText" text="Pass">
      <formula>NOT(ISERROR(SEARCH("Pass",L5)))</formula>
    </cfRule>
    <cfRule type="containsText" dxfId="16" priority="2" operator="containsText" text="Fail">
      <formula>NOT(ISERROR(SEARCH("Fail",L5)))</formula>
    </cfRule>
    <cfRule type="containsText" dxfId="15" priority="3" operator="containsText" text="Fail">
      <formula>NOT(ISERROR(SEARCH("Fail",L5)))</formula>
    </cfRule>
  </conditionalFormatting>
  <hyperlinks>
    <hyperlink ref="B7" r:id="rId1" display="Shubh@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2026-09-21T17:30:59Z</dcterms:modified>
</cp:coreProperties>
</file>