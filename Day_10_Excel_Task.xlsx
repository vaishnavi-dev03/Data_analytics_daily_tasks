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742671E5-524E-4C22-ABCF-1C33490F327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10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1" i="1"/>
  <c r="S9" i="1"/>
  <c r="R9" i="1"/>
  <c r="Q9" i="1"/>
  <c r="P9" i="1"/>
  <c r="O9" i="1"/>
  <c r="N9" i="1"/>
  <c r="M9" i="1"/>
  <c r="L9" i="1"/>
  <c r="I9" i="1"/>
  <c r="K9" i="1" s="1"/>
  <c r="S8" i="1"/>
  <c r="R8" i="1"/>
  <c r="Q8" i="1"/>
  <c r="P8" i="1"/>
  <c r="O8" i="1"/>
  <c r="N8" i="1"/>
  <c r="M8" i="1"/>
  <c r="L8" i="1"/>
  <c r="I8" i="1"/>
  <c r="J8" i="1" s="1"/>
  <c r="S7" i="1"/>
  <c r="R7" i="1"/>
  <c r="Q7" i="1"/>
  <c r="P7" i="1"/>
  <c r="O7" i="1"/>
  <c r="N7" i="1"/>
  <c r="M7" i="1"/>
  <c r="L7" i="1"/>
  <c r="I7" i="1"/>
  <c r="K7" i="1" s="1"/>
  <c r="S6" i="1"/>
  <c r="R6" i="1"/>
  <c r="Q6" i="1"/>
  <c r="P6" i="1"/>
  <c r="O6" i="1"/>
  <c r="N6" i="1"/>
  <c r="M6" i="1"/>
  <c r="L6" i="1"/>
  <c r="I6" i="1"/>
  <c r="K6" i="1" s="1"/>
  <c r="S5" i="1"/>
  <c r="R5" i="1"/>
  <c r="Q5" i="1"/>
  <c r="P5" i="1"/>
  <c r="O5" i="1"/>
  <c r="N5" i="1"/>
  <c r="M5" i="1"/>
  <c r="L5" i="1"/>
  <c r="I5" i="1"/>
  <c r="K5" i="1" s="1"/>
  <c r="J7" i="1" l="1"/>
  <c r="K8" i="1"/>
  <c r="G15" i="1"/>
  <c r="J6" i="1"/>
  <c r="G13" i="1"/>
  <c r="J5" i="1"/>
  <c r="J9" i="1"/>
</calcChain>
</file>

<file path=xl/sharedStrings.xml><?xml version="1.0" encoding="utf-8"?>
<sst xmlns="http://schemas.openxmlformats.org/spreadsheetml/2006/main" count="35" uniqueCount="35">
  <si>
    <t>Day 10</t>
  </si>
  <si>
    <t>Substitute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</si>
  <si>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</si>
  <si>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</si>
  <si>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</si>
  <si>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</si>
  <si>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</si>
  <si>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</si>
  <si>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</si>
  <si>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</si>
  <si>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</si>
  <si>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</si>
  <si>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</si>
  <si>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</si>
  <si>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</si>
  <si>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Length of first name</t>
  </si>
  <si>
    <t>Capatilize first letter of first name</t>
  </si>
  <si>
    <t>Capatilize all letters of first name</t>
  </si>
  <si>
    <t>Remove special char</t>
  </si>
  <si>
    <t>Remove space</t>
  </si>
  <si>
    <t>overwrite(u-&gt;i)</t>
  </si>
  <si>
    <t xml:space="preserve">Rudra   </t>
  </si>
  <si>
    <t>Shukla</t>
  </si>
  <si>
    <t>Aarohi</t>
  </si>
  <si>
    <t>Gupta</t>
  </si>
  <si>
    <t>Om@</t>
  </si>
  <si>
    <t>Mathur</t>
  </si>
  <si>
    <t>Sia</t>
  </si>
  <si>
    <t>Batra</t>
  </si>
  <si>
    <t xml:space="preserve">        Laksh</t>
  </si>
  <si>
    <t>Arora</t>
  </si>
  <si>
    <t>Total Subject</t>
  </si>
  <si>
    <t>No. of Pass Student</t>
  </si>
  <si>
    <t>No. of Fail Student</t>
  </si>
  <si>
    <t>Find Marks of Rudra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</si>
</sst>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4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wrapText="1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81011" displayName="Table134681011" ref="A4:S9" totalsRowShown="0" headerRowDxfId="20" dataDxfId="0">
  <autoFilter ref="A4:S9" xr:uid="{00000000-0009-0000-0100-000001000000}"/>
  <tableColumns count="19">
    <tableColumn id="1" xr3:uid="{00000000-0010-0000-0000-000001000000}" name="Student ID" dataDxfId="19"/>
    <tableColumn id="2" xr3:uid="{00000000-0010-0000-0000-000002000000}" name="First Name" dataDxfId="18"/>
    <tableColumn id="3" xr3:uid="{00000000-0010-0000-0000-000003000000}" name="Last Name" dataDxfId="17"/>
    <tableColumn id="4" xr3:uid="{00000000-0010-0000-0000-000004000000}" name="Mathematics" dataDxfId="16"/>
    <tableColumn id="5" xr3:uid="{00000000-0010-0000-0000-000005000000}" name="Science" dataDxfId="15"/>
    <tableColumn id="6" xr3:uid="{00000000-0010-0000-0000-000006000000}" name="English" dataDxfId="14"/>
    <tableColumn id="7" xr3:uid="{00000000-0010-0000-0000-000007000000}" name="Computer" dataDxfId="13"/>
    <tableColumn id="8" xr3:uid="{00000000-0010-0000-0000-000008000000}" name="Social Science" dataDxfId="12"/>
    <tableColumn id="9" xr3:uid="{00000000-0010-0000-0000-000009000000}" name="Total" dataDxfId="11">
      <calculatedColumnFormula>SUM(D5:H5)</calculatedColumnFormula>
    </tableColumn>
    <tableColumn id="10" xr3:uid="{00000000-0010-0000-0000-00000A000000}" name="Average" dataDxfId="10">
      <calculatedColumnFormula>I5/5</calculatedColumnFormula>
    </tableColumn>
    <tableColumn id="11" xr3:uid="{00000000-0010-0000-0000-00000B000000}" name="Percentage" dataDxfId="9">
      <calculatedColumnFormula>(I5/500) *100</calculatedColumnFormula>
    </tableColumn>
    <tableColumn id="12" xr3:uid="{00000000-0010-0000-0000-00000C000000}" name="Is_Fail" dataDxfId="8">
      <calculatedColumnFormula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calculatedColumnFormula>
    </tableColumn>
    <tableColumn id="13" xr3:uid="{00000000-0010-0000-0000-00000D000000}" name="Marks Given in No of Sub" dataDxfId="7">
      <calculatedColumnFormula>COUNTA(Table134681011[[#This Row],[Mathematics]]:Table134681011[[#This Row],[Social Science]])</calculatedColumnFormula>
    </tableColumn>
    <tableColumn id="14" xr3:uid="{00000000-0010-0000-0000-00000E000000}" name="Length of first name" dataDxfId="6">
      <calculatedColumnFormula>LEN(Table134681011[[#This Row],[First Name]])</calculatedColumnFormula>
    </tableColumn>
    <tableColumn id="15" xr3:uid="{00000000-0010-0000-0000-00000F000000}" name="Capatilize first letter of first name" dataDxfId="5">
      <calculatedColumnFormula>PROPER(Table134681011[[#This Row],[First Name]])</calculatedColumnFormula>
    </tableColumn>
    <tableColumn id="16" xr3:uid="{00000000-0010-0000-0000-000010000000}" name="Capatilize all letters of first name" dataDxfId="4">
      <calculatedColumnFormula>UPPER(Table134681011[[#This Row],[First Name]])</calculatedColumnFormula>
    </tableColumn>
    <tableColumn id="17" xr3:uid="{00000000-0010-0000-0000-000011000000}" name="Remove special char" dataDxfId="3">
      <calculatedColumnFormula>SUBSTITUTE(Table134681011[[#This Row],[First Name]],"@","")</calculatedColumnFormula>
    </tableColumn>
    <tableColumn id="18" xr3:uid="{00000000-0010-0000-0000-000012000000}" name="Remove space" dataDxfId="2">
      <calculatedColumnFormula>TRIM(Table134681011[[#This Row],[First Name]])</calculatedColumnFormula>
    </tableColumn>
    <tableColumn id="19" xr3:uid="{00000000-0010-0000-0000-000013000000}" name="overwrite(u-&gt;i)" dataDxfId="1">
      <calculatedColumnFormula>SUBSTITUTE(Table134681011[[#This Row],[First Name]],"u","i")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B16" sqref="B16"/>
    </sheetView>
  </sheetViews>
  <sheetFormatPr defaultRowHeight="14.5" x14ac:dyDescent="0.35"/>
  <cols>
    <col min="1" max="1" width="12.08984375" style="5" bestFit="1" customWidth="1"/>
    <col min="2" max="3" width="10.453125" style="5" bestFit="1" customWidth="1"/>
    <col min="4" max="4" width="8.1796875" style="5" bestFit="1" customWidth="1"/>
    <col min="5" max="5" width="7.36328125" style="5" bestFit="1" customWidth="1"/>
    <col min="6" max="6" width="28.81640625" style="5" bestFit="1" customWidth="1"/>
    <col min="7" max="7" width="10.7265625" style="5" customWidth="1"/>
    <col min="8" max="8" width="7.36328125" style="5" bestFit="1" customWidth="1"/>
    <col min="9" max="9" width="5.1796875" style="5" bestFit="1" customWidth="1"/>
    <col min="10" max="10" width="7.90625" style="5" bestFit="1" customWidth="1"/>
    <col min="11" max="11" width="8.453125" style="5" bestFit="1" customWidth="1"/>
    <col min="12" max="12" width="6.08984375" style="5" bestFit="1" customWidth="1"/>
    <col min="13" max="13" width="7.81640625" style="5" bestFit="1" customWidth="1"/>
    <col min="14" max="14" width="6.81640625" style="5" bestFit="1" customWidth="1"/>
    <col min="15" max="15" width="9.08984375" style="5" bestFit="1" customWidth="1"/>
    <col min="16" max="16" width="10.81640625" style="5" bestFit="1" customWidth="1"/>
    <col min="17" max="17" width="9.08984375" style="5" bestFit="1" customWidth="1"/>
    <col min="18" max="18" width="7.90625" style="5" bestFit="1" customWidth="1"/>
    <col min="19" max="19" width="9.08984375" style="5" bestFit="1" customWidth="1"/>
  </cols>
  <sheetData>
    <row r="1" spans="1:19" s="6" customFormat="1" x14ac:dyDescent="0.35">
      <c r="F1" s="7"/>
      <c r="G1" s="6" t="s">
        <v>0</v>
      </c>
    </row>
    <row r="2" spans="1:19" ht="18.5" x14ac:dyDescent="0.4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4" spans="1:19" ht="57.65" customHeight="1" x14ac:dyDescent="0.3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</row>
    <row r="5" spans="1:19" x14ac:dyDescent="0.35">
      <c r="A5" s="10">
        <v>1</v>
      </c>
      <c r="B5" s="10" t="s">
        <v>21</v>
      </c>
      <c r="C5" s="10" t="s">
        <v>22</v>
      </c>
      <c r="D5" s="10">
        <v>82</v>
      </c>
      <c r="E5" s="10">
        <v>96</v>
      </c>
      <c r="F5" s="10">
        <v>73</v>
      </c>
      <c r="G5" s="10">
        <v>84</v>
      </c>
      <c r="H5" s="10">
        <v>88</v>
      </c>
      <c r="I5" s="3">
        <f>SUM(D5:H5)</f>
        <v>423</v>
      </c>
      <c r="J5" s="3">
        <f>I5/5</f>
        <v>84.6</v>
      </c>
      <c r="K5" s="3">
        <f>(I5/500) *100</f>
        <v>84.6</v>
      </c>
      <c r="L5" s="3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5" s="3">
        <f>COUNTA(Table134681011[[#This Row],[Mathematics]]:Table134681011[[#This Row],[Social Science]])</f>
        <v>5</v>
      </c>
      <c r="N5" s="3">
        <f>LEN(Table134681011[[#This Row],[First Name]])</f>
        <v>8</v>
      </c>
      <c r="O5" s="3" t="str">
        <f>PROPER(Table134681011[[#This Row],[First Name]])</f>
        <v xml:space="preserve">Rudra   </v>
      </c>
      <c r="P5" s="3" t="str">
        <f>UPPER(Table134681011[[#This Row],[First Name]])</f>
        <v xml:space="preserve">RUDRA   </v>
      </c>
      <c r="Q5" s="3" t="str">
        <f>SUBSTITUTE(Table134681011[[#This Row],[First Name]],"@","")</f>
        <v xml:space="preserve">Rudra   </v>
      </c>
      <c r="R5" s="3" t="str">
        <f>TRIM(Table134681011[[#This Row],[First Name]])</f>
        <v>Rudra</v>
      </c>
      <c r="S5" s="3" t="str">
        <f>SUBSTITUTE(Table134681011[[#This Row],[First Name]],"u","i")</f>
        <v xml:space="preserve">Ridra   </v>
      </c>
    </row>
    <row r="6" spans="1:19" x14ac:dyDescent="0.35">
      <c r="A6" s="10">
        <v>2</v>
      </c>
      <c r="B6" s="10" t="s">
        <v>23</v>
      </c>
      <c r="C6" s="10" t="s">
        <v>24</v>
      </c>
      <c r="D6" s="10">
        <v>75</v>
      </c>
      <c r="E6" s="10">
        <v>92</v>
      </c>
      <c r="F6" s="10">
        <v>62</v>
      </c>
      <c r="G6" s="10">
        <v>92</v>
      </c>
      <c r="H6" s="10">
        <v>84</v>
      </c>
      <c r="I6" s="3">
        <f>SUM(D6:H6)</f>
        <v>405</v>
      </c>
      <c r="J6" s="3">
        <f>I6/5</f>
        <v>81</v>
      </c>
      <c r="K6" s="3">
        <f>(I6/500) *100</f>
        <v>81</v>
      </c>
      <c r="L6" s="3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6" s="3">
        <f>COUNTA(Table134681011[[#This Row],[Mathematics]]:Table134681011[[#This Row],[Social Science]])</f>
        <v>5</v>
      </c>
      <c r="N6" s="3">
        <f>LEN(Table134681011[[#This Row],[First Name]])</f>
        <v>6</v>
      </c>
      <c r="O6" s="3" t="str">
        <f>PROPER(Table134681011[[#This Row],[First Name]])</f>
        <v>Aarohi</v>
      </c>
      <c r="P6" s="3" t="str">
        <f>UPPER(Table134681011[[#This Row],[First Name]])</f>
        <v>AAROHI</v>
      </c>
      <c r="Q6" s="3" t="str">
        <f>SUBSTITUTE(Table134681011[[#This Row],[First Name]],"@","")</f>
        <v>Aarohi</v>
      </c>
      <c r="R6" s="3" t="str">
        <f>TRIM(Table134681011[[#This Row],[First Name]])</f>
        <v>Aarohi</v>
      </c>
      <c r="S6" s="3" t="str">
        <f>SUBSTITUTE(Table134681011[[#This Row],[First Name]],"u","i")</f>
        <v>Aarohi</v>
      </c>
    </row>
    <row r="7" spans="1:19" x14ac:dyDescent="0.35">
      <c r="A7" s="10">
        <v>3</v>
      </c>
      <c r="B7" s="11" t="s">
        <v>25</v>
      </c>
      <c r="C7" s="10" t="s">
        <v>26</v>
      </c>
      <c r="D7" s="10">
        <v>90</v>
      </c>
      <c r="E7" s="10">
        <v>78</v>
      </c>
      <c r="F7" s="10">
        <v>60</v>
      </c>
      <c r="G7" s="10">
        <v>65</v>
      </c>
      <c r="H7" s="10">
        <v>90</v>
      </c>
      <c r="I7" s="3">
        <f>SUM(D7:H7)</f>
        <v>383</v>
      </c>
      <c r="J7" s="3">
        <f>I7/5</f>
        <v>76.599999999999994</v>
      </c>
      <c r="K7" s="3">
        <f>(I7/500) *100</f>
        <v>76.599999999999994</v>
      </c>
      <c r="L7" s="3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7" s="3">
        <f>COUNTA(Table134681011[[#This Row],[Mathematics]]:Table134681011[[#This Row],[Social Science]])</f>
        <v>5</v>
      </c>
      <c r="N7" s="3">
        <f>LEN(Table134681011[[#This Row],[First Name]])</f>
        <v>3</v>
      </c>
      <c r="O7" s="3" t="str">
        <f>PROPER(Table134681011[[#This Row],[First Name]])</f>
        <v>Om@</v>
      </c>
      <c r="P7" s="3" t="str">
        <f>UPPER(Table134681011[[#This Row],[First Name]])</f>
        <v>OM@</v>
      </c>
      <c r="Q7" s="3" t="str">
        <f>SUBSTITUTE(Table134681011[[#This Row],[First Name]],"@","")</f>
        <v>Om</v>
      </c>
      <c r="R7" s="3" t="str">
        <f>TRIM(Table134681011[[#This Row],[First Name]])</f>
        <v>Om@</v>
      </c>
      <c r="S7" s="3" t="str">
        <f>SUBSTITUTE(Table134681011[[#This Row],[First Name]],"u","i")</f>
        <v>Om@</v>
      </c>
    </row>
    <row r="8" spans="1:19" x14ac:dyDescent="0.35">
      <c r="A8" s="10">
        <v>4</v>
      </c>
      <c r="B8" s="10" t="s">
        <v>27</v>
      </c>
      <c r="C8" s="10" t="s">
        <v>28</v>
      </c>
      <c r="D8" s="10">
        <v>63</v>
      </c>
      <c r="E8" s="10"/>
      <c r="F8" s="10">
        <v>86</v>
      </c>
      <c r="G8" s="10">
        <v>58</v>
      </c>
      <c r="H8" s="10">
        <v>91</v>
      </c>
      <c r="I8" s="3">
        <f>SUM(D8:H8)</f>
        <v>298</v>
      </c>
      <c r="J8" s="3">
        <f>I8/5</f>
        <v>59.6</v>
      </c>
      <c r="K8" s="3">
        <f>(I8/500) *100</f>
        <v>59.599999999999994</v>
      </c>
      <c r="L8" s="3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8" s="3">
        <f>COUNTA(Table134681011[[#This Row],[Mathematics]]:Table134681011[[#This Row],[Social Science]])</f>
        <v>4</v>
      </c>
      <c r="N8" s="3">
        <f>LEN(Table134681011[[#This Row],[First Name]])</f>
        <v>3</v>
      </c>
      <c r="O8" s="3" t="str">
        <f>PROPER(Table134681011[[#This Row],[First Name]])</f>
        <v>Sia</v>
      </c>
      <c r="P8" s="3" t="str">
        <f>UPPER(Table134681011[[#This Row],[First Name]])</f>
        <v>SIA</v>
      </c>
      <c r="Q8" s="3" t="str">
        <f>SUBSTITUTE(Table134681011[[#This Row],[First Name]],"@","")</f>
        <v>Sia</v>
      </c>
      <c r="R8" s="3" t="str">
        <f>TRIM(Table134681011[[#This Row],[First Name]])</f>
        <v>Sia</v>
      </c>
      <c r="S8" s="3" t="str">
        <f>SUBSTITUTE(Table134681011[[#This Row],[First Name]],"u","i")</f>
        <v>Sia</v>
      </c>
    </row>
    <row r="9" spans="1:19" x14ac:dyDescent="0.35">
      <c r="A9" s="10">
        <v>5</v>
      </c>
      <c r="B9" s="10" t="s">
        <v>29</v>
      </c>
      <c r="C9" s="10" t="s">
        <v>30</v>
      </c>
      <c r="D9" s="10">
        <v>85</v>
      </c>
      <c r="E9" s="10">
        <v>95</v>
      </c>
      <c r="F9" s="10">
        <v>72</v>
      </c>
      <c r="G9" s="10">
        <v>75</v>
      </c>
      <c r="H9" s="10">
        <v>76</v>
      </c>
      <c r="I9" s="3">
        <f>SUM(D9:H9)</f>
        <v>403</v>
      </c>
      <c r="J9" s="3">
        <f>I9/5</f>
        <v>80.599999999999994</v>
      </c>
      <c r="K9" s="3">
        <f>(I9/500) *100</f>
        <v>80.600000000000009</v>
      </c>
      <c r="L9" s="3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9" s="3">
        <f>COUNTA(Table134681011[[#This Row],[Mathematics]]:Table134681011[[#This Row],[Social Science]])</f>
        <v>5</v>
      </c>
      <c r="N9" s="3">
        <f>LEN(Table134681011[[#This Row],[First Name]])</f>
        <v>13</v>
      </c>
      <c r="O9" s="3" t="str">
        <f>PROPER(Table134681011[[#This Row],[First Name]])</f>
        <v xml:space="preserve">        Laksh</v>
      </c>
      <c r="P9" s="3" t="str">
        <f>UPPER(Table134681011[[#This Row],[First Name]])</f>
        <v xml:space="preserve">        LAKSH</v>
      </c>
      <c r="Q9" s="3" t="str">
        <f>SUBSTITUTE(Table134681011[[#This Row],[First Name]],"@","")</f>
        <v xml:space="preserve">        Laksh</v>
      </c>
      <c r="R9" s="3" t="str">
        <f>TRIM(Table134681011[[#This Row],[First Name]])</f>
        <v>Laksh</v>
      </c>
      <c r="S9" s="3" t="str">
        <f>SUBSTITUTE(Table134681011[[#This Row],[First Name]],"u","i")</f>
        <v xml:space="preserve">        Laksh</v>
      </c>
    </row>
    <row r="11" spans="1:19" x14ac:dyDescent="0.35">
      <c r="F11" s="4" t="s">
        <v>31</v>
      </c>
      <c r="G11">
        <f>COUNT(D5:H5)</f>
        <v>5</v>
      </c>
    </row>
    <row r="13" spans="1:19" x14ac:dyDescent="0.35">
      <c r="F13" s="4" t="s">
        <v>32</v>
      </c>
      <c r="G13">
        <f>COUNTIF(Table134681011[Is_Fail],"Pass")</f>
        <v>5</v>
      </c>
    </row>
    <row r="15" spans="1:19" x14ac:dyDescent="0.35">
      <c r="F15" s="4" t="s">
        <v>33</v>
      </c>
      <c r="G15">
        <f>COUNTIF(Table134681011[Is_Fail],"Fail")</f>
        <v>0</v>
      </c>
    </row>
    <row r="17" spans="6:7" x14ac:dyDescent="0.35">
      <c r="F17" s="4" t="s">
        <v>34</v>
      </c>
      <c r="G17">
        <f>VLOOKUP(A5,Table134681011[#All],6,FALSE)</f>
        <v>73</v>
      </c>
    </row>
  </sheetData>
  <mergeCells count="1">
    <mergeCell ref="A2:S2"/>
  </mergeCells>
  <conditionalFormatting sqref="L5:L9">
    <cfRule type="containsText" dxfId="23" priority="1" operator="containsText" text="Pass">
      <formula>NOT(ISERROR(SEARCH("Pass",L5)))</formula>
    </cfRule>
    <cfRule type="containsText" dxfId="22" priority="2" operator="containsText" text="Fail">
      <formula>NOT(ISERROR(SEARCH("Fail",L5)))</formula>
    </cfRule>
    <cfRule type="containsText" dxfId="21" priority="3" operator="containsText" text="Fail">
      <formula>NOT(ISERROR(SEARCH("Fail",L5)))</formula>
    </cfRule>
  </conditionalFormatting>
  <hyperlinks>
    <hyperlink ref="B7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2026-09-21T17:26:23Z</dcterms:modified>
</cp:coreProperties>
</file>