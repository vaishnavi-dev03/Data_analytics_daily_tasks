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CC8304DD-B8D2-4BCC-8828-7855C0165CF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7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M9" i="1"/>
  <c r="L9" i="1"/>
  <c r="I9" i="1"/>
  <c r="J9" i="1" s="1"/>
  <c r="M8" i="1"/>
  <c r="L8" i="1"/>
  <c r="I8" i="1"/>
  <c r="J8" i="1" s="1"/>
  <c r="M7" i="1"/>
  <c r="L7" i="1"/>
  <c r="I7" i="1"/>
  <c r="K7" i="1" s="1"/>
  <c r="M6" i="1"/>
  <c r="L6" i="1"/>
  <c r="I6" i="1"/>
  <c r="K6" i="1" s="1"/>
  <c r="M5" i="1"/>
  <c r="L5" i="1"/>
  <c r="I5" i="1"/>
  <c r="K5" i="1" s="1"/>
  <c r="K9" i="1" l="1"/>
  <c r="J5" i="1"/>
  <c r="G15" i="1"/>
  <c r="K8" i="1"/>
  <c r="G13" i="1"/>
  <c r="J7" i="1"/>
  <c r="J6" i="1"/>
</calcChain>
</file>

<file path=xl/sharedStrings.xml><?xml version="1.0" encoding="utf-8"?>
<sst xmlns="http://schemas.openxmlformats.org/spreadsheetml/2006/main" count="29" uniqueCount="29">
  <si>
    <t xml:space="preserve">                 Day 7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</si>
  <si>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</si>
  <si>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</si>
  <si>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</si>
  <si>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</si>
  <si>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</si>
  <si>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</si>
  <si>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</si>
  <si>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</si>
  <si>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</si>
  <si>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</si>
  <si>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</si>
  <si>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</si>
  <si>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</si>
  <si>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Neil</t>
  </si>
  <si>
    <t>Saxena</t>
  </si>
  <si>
    <t>Anvi</t>
  </si>
  <si>
    <t>Kumar</t>
  </si>
  <si>
    <t>Parth</t>
  </si>
  <si>
    <t>Bose</t>
  </si>
  <si>
    <t>Riyaan</t>
  </si>
  <si>
    <t>Dutta</t>
  </si>
  <si>
    <t>Kavya</t>
  </si>
  <si>
    <t>Goyal</t>
  </si>
  <si>
    <t>Total Subject</t>
  </si>
  <si>
    <t>No. of Pass Student</t>
  </si>
  <si>
    <t>Find Marks of Neil in English</t>
  </si>
  <si>
    <t>No. of Fail Student</t>
  </si>
  <si>
    <t>Highlight Cells ,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</si>
</sst>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8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" displayName="Table1346" ref="A4:M9" totalsRowShown="0" headerRowDxfId="14" dataDxfId="0">
  <autoFilter ref="A4:M9" xr:uid="{00000000-0009-0000-0100-000001000000}"/>
  <tableColumns count="13">
    <tableColumn id="1" xr3:uid="{00000000-0010-0000-0000-000001000000}" name="Student ID" dataDxfId="13"/>
    <tableColumn id="2" xr3:uid="{00000000-0010-0000-0000-000002000000}" name="First Name" dataDxfId="12"/>
    <tableColumn id="3" xr3:uid="{00000000-0010-0000-0000-000003000000}" name="Last Name" dataDxfId="11"/>
    <tableColumn id="4" xr3:uid="{00000000-0010-0000-0000-000004000000}" name="Mathematics" dataDxfId="10"/>
    <tableColumn id="5" xr3:uid="{00000000-0010-0000-0000-000005000000}" name="Science" dataDxfId="9"/>
    <tableColumn id="6" xr3:uid="{00000000-0010-0000-0000-000006000000}" name="English" dataDxfId="8"/>
    <tableColumn id="7" xr3:uid="{00000000-0010-0000-0000-000007000000}" name="Computer" dataDxfId="7"/>
    <tableColumn id="8" xr3:uid="{00000000-0010-0000-0000-000008000000}" name="Social Science" dataDxfId="6"/>
    <tableColumn id="9" xr3:uid="{00000000-0010-0000-0000-000009000000}" name="Total" dataDxfId="5">
      <calculatedColumnFormula>SUM(D5:H5)</calculatedColumnFormula>
    </tableColumn>
    <tableColumn id="10" xr3:uid="{00000000-0010-0000-0000-00000A000000}" name="Average" dataDxfId="4">
      <calculatedColumnFormula>I5/5</calculatedColumnFormula>
    </tableColumn>
    <tableColumn id="11" xr3:uid="{00000000-0010-0000-0000-00000B000000}" name="Percentage" dataDxfId="3">
      <calculatedColumnFormula>(I5/500) *100</calculatedColumnFormula>
    </tableColumn>
    <tableColumn id="12" xr3:uid="{00000000-0010-0000-0000-00000C000000}" name="Is_Fail" dataDxfId="2">
      <calculatedColumnFormula>IF(SUMIF(Table1346[[#This Row],[Mathematics]]:Table1346[[#This Row],[Social Science]],"&gt;=50",Table1346[[#This Row],[Mathematics]]:Table1346[[#This Row],[Social Science]])=SUM(Table1346[[#This Row],[Mathematics]]:Table1346[[#This Row],[Social Science]]),"Pass","Fail")</calculatedColumnFormula>
    </tableColumn>
    <tableColumn id="13" xr3:uid="{00000000-0010-0000-0000-00000D000000}" name="Marks Given in No of Sub" dataDxfId="1">
      <calculatedColumnFormula>COUNTA(Table1346[[#This Row],[Mathematics]]:Table1346[[#This Row],[Social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C5" sqref="C5"/>
    </sheetView>
  </sheetViews>
  <sheetFormatPr defaultRowHeight="14.5" x14ac:dyDescent="0.35"/>
  <cols>
    <col min="4" max="4" width="12.453125" customWidth="1"/>
    <col min="6" max="6" width="27.54296875" style="3" bestFit="1" customWidth="1"/>
    <col min="7" max="7" width="10.6328125" customWidth="1"/>
    <col min="8" max="8" width="9.26953125" customWidth="1"/>
    <col min="9" max="9" width="10.6328125" customWidth="1"/>
    <col min="11" max="11" width="11.26953125" customWidth="1"/>
    <col min="13" max="13" width="7.81640625" style="3" bestFit="1" customWidth="1"/>
  </cols>
  <sheetData>
    <row r="1" spans="1:13" x14ac:dyDescent="0.35">
      <c r="A1" s="7"/>
      <c r="B1" s="7"/>
      <c r="C1" s="7"/>
      <c r="D1" s="7"/>
      <c r="E1" s="7"/>
      <c r="F1" s="6" t="s">
        <v>0</v>
      </c>
      <c r="G1" s="7"/>
      <c r="H1" s="7"/>
      <c r="I1" s="7"/>
      <c r="J1" s="7"/>
      <c r="K1" s="7"/>
      <c r="L1" s="7"/>
      <c r="M1" s="7"/>
    </row>
    <row r="2" spans="1:13" ht="18.5" x14ac:dyDescent="0.45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57.65" customHeight="1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x14ac:dyDescent="0.35">
      <c r="A5" s="5">
        <v>1</v>
      </c>
      <c r="B5" s="5" t="s">
        <v>14</v>
      </c>
      <c r="C5" s="5" t="s">
        <v>15</v>
      </c>
      <c r="D5" s="5">
        <v>73</v>
      </c>
      <c r="E5" s="5">
        <v>97</v>
      </c>
      <c r="F5" s="5">
        <v>95</v>
      </c>
      <c r="G5" s="5">
        <v>85</v>
      </c>
      <c r="H5" s="5">
        <v>88</v>
      </c>
      <c r="I5" s="1">
        <f>SUM(D5:H5)</f>
        <v>438</v>
      </c>
      <c r="J5" s="1">
        <f>I5/5</f>
        <v>87.6</v>
      </c>
      <c r="K5" s="1">
        <f>(I5/500) *100</f>
        <v>87.6</v>
      </c>
      <c r="L5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5" s="1">
        <f>COUNTA(Table1346[[#This Row],[Mathematics]]:Table1346[[#This Row],[Social Science]])</f>
        <v>5</v>
      </c>
    </row>
    <row r="6" spans="1:13" x14ac:dyDescent="0.35">
      <c r="A6" s="5">
        <v>2</v>
      </c>
      <c r="B6" s="5" t="s">
        <v>16</v>
      </c>
      <c r="C6" s="5" t="s">
        <v>17</v>
      </c>
      <c r="D6" s="5">
        <v>77</v>
      </c>
      <c r="E6" s="5">
        <v>66</v>
      </c>
      <c r="F6" s="5">
        <v>85</v>
      </c>
      <c r="G6" s="5">
        <v>92</v>
      </c>
      <c r="H6" s="5">
        <v>65</v>
      </c>
      <c r="I6" s="1">
        <f>SUM(D6:H6)</f>
        <v>385</v>
      </c>
      <c r="J6" s="1">
        <f>I6/5</f>
        <v>77</v>
      </c>
      <c r="K6" s="1">
        <f>(I6/500) *100</f>
        <v>77</v>
      </c>
      <c r="L6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6" s="1">
        <f>COUNTA(Table1346[[#This Row],[Mathematics]]:Table1346[[#This Row],[Social Science]])</f>
        <v>5</v>
      </c>
    </row>
    <row r="7" spans="1:13" x14ac:dyDescent="0.35">
      <c r="A7" s="5">
        <v>3</v>
      </c>
      <c r="B7" s="5" t="s">
        <v>18</v>
      </c>
      <c r="C7" s="5" t="s">
        <v>19</v>
      </c>
      <c r="D7" s="5">
        <v>74</v>
      </c>
      <c r="E7" s="5">
        <v>76</v>
      </c>
      <c r="F7" s="5">
        <v>96</v>
      </c>
      <c r="G7" s="5">
        <v>60</v>
      </c>
      <c r="H7" s="5">
        <v>75</v>
      </c>
      <c r="I7" s="1">
        <f>SUM(D7:H7)</f>
        <v>381</v>
      </c>
      <c r="J7" s="1">
        <f>I7/5</f>
        <v>76.2</v>
      </c>
      <c r="K7" s="1">
        <f>(I7/500) *100</f>
        <v>76.2</v>
      </c>
      <c r="L7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7" s="1">
        <f>COUNTA(Table1346[[#This Row],[Mathematics]]:Table1346[[#This Row],[Social Science]])</f>
        <v>5</v>
      </c>
    </row>
    <row r="8" spans="1:13" x14ac:dyDescent="0.35">
      <c r="A8" s="5">
        <v>4</v>
      </c>
      <c r="B8" s="5" t="s">
        <v>20</v>
      </c>
      <c r="C8" s="5" t="s">
        <v>21</v>
      </c>
      <c r="D8" s="5">
        <v>78</v>
      </c>
      <c r="E8" s="5"/>
      <c r="F8" s="5">
        <v>69</v>
      </c>
      <c r="G8" s="5">
        <v>95</v>
      </c>
      <c r="H8" s="5">
        <v>70</v>
      </c>
      <c r="I8" s="1">
        <f>SUM(D8:H8)</f>
        <v>312</v>
      </c>
      <c r="J8" s="1">
        <f>I8/5</f>
        <v>62.4</v>
      </c>
      <c r="K8" s="1">
        <f>(I8/500) *100</f>
        <v>62.4</v>
      </c>
      <c r="L8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8" s="1">
        <f>COUNTA(Table1346[[#This Row],[Mathematics]]:Table1346[[#This Row],[Social Science]])</f>
        <v>4</v>
      </c>
    </row>
    <row r="9" spans="1:13" x14ac:dyDescent="0.35">
      <c r="A9" s="5">
        <v>5</v>
      </c>
      <c r="B9" s="5" t="s">
        <v>22</v>
      </c>
      <c r="C9" s="5" t="s">
        <v>23</v>
      </c>
      <c r="D9" s="5">
        <v>67</v>
      </c>
      <c r="E9" s="5">
        <v>92</v>
      </c>
      <c r="F9" s="5">
        <v>66</v>
      </c>
      <c r="G9" s="5">
        <v>73</v>
      </c>
      <c r="H9" s="5">
        <v>81</v>
      </c>
      <c r="I9" s="1">
        <f>SUM(D9:H9)</f>
        <v>379</v>
      </c>
      <c r="J9" s="1">
        <f>I9/5</f>
        <v>75.8</v>
      </c>
      <c r="K9" s="1">
        <f>(I9/500) *100</f>
        <v>75.8</v>
      </c>
      <c r="L9" s="1" t="str">
        <f>IF(SUMIF(Table1346[[#This Row],[Mathematics]]:Table1346[[#This Row],[Social Science]],"&gt;=50",Table1346[[#This Row],[Mathematics]]:Table1346[[#This Row],[Social Science]])=SUM(Table1346[[#This Row],[Mathematics]]:Table1346[[#This Row],[Social Science]]),"Pass","Fail")</f>
        <v>Pass</v>
      </c>
      <c r="M9" s="1">
        <f>COUNTA(Table1346[[#This Row],[Mathematics]]:Table1346[[#This Row],[Social Science]])</f>
        <v>5</v>
      </c>
    </row>
    <row r="11" spans="1:13" x14ac:dyDescent="0.35">
      <c r="F11" s="2" t="s">
        <v>24</v>
      </c>
      <c r="G11">
        <f>COUNT(D5:H5)</f>
        <v>5</v>
      </c>
    </row>
    <row r="13" spans="1:13" x14ac:dyDescent="0.35">
      <c r="F13" s="2" t="s">
        <v>25</v>
      </c>
      <c r="G13">
        <f>COUNTIF(Table1346[Is_Fail],"Pass")</f>
        <v>5</v>
      </c>
    </row>
    <row r="15" spans="1:13" x14ac:dyDescent="0.35">
      <c r="F15" s="2" t="s">
        <v>27</v>
      </c>
      <c r="G15">
        <f>COUNTIF(Table1346[Is_Fail],"Fail")</f>
        <v>0</v>
      </c>
    </row>
    <row r="17" spans="6:7" x14ac:dyDescent="0.35">
      <c r="F17" s="2" t="s">
        <v>26</v>
      </c>
      <c r="G17">
        <f>VLOOKUP(A5,Table1346[#All],6,FALSE)</f>
        <v>95</v>
      </c>
    </row>
  </sheetData>
  <mergeCells count="1">
    <mergeCell ref="A2:M2"/>
  </mergeCells>
  <conditionalFormatting sqref="L5:L9">
    <cfRule type="containsText" dxfId="17" priority="1" operator="containsText" text="Pass">
      <formula>NOT(ISERROR(SEARCH("Pass",L5)))</formula>
    </cfRule>
    <cfRule type="containsText" dxfId="16" priority="2" operator="containsText" text="Fail">
      <formula>NOT(ISERROR(SEARCH("Fail",L5)))</formula>
    </cfRule>
    <cfRule type="containsText" dxfId="15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2026-09-21T17:12:15Z</dcterms:modified>
</cp:coreProperties>
</file>